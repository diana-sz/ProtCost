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Sheet3" sheetId="3" r:id="rId7"/>
  </sheets>
  <definedNames/>
  <calcPr/>
</workbook>
</file>

<file path=xl/sharedStrings.xml><?xml version="1.0" encoding="utf-8"?>
<sst xmlns="http://schemas.openxmlformats.org/spreadsheetml/2006/main" count="252" uniqueCount="80">
  <si>
    <t>Masses</t>
  </si>
  <si>
    <t>g/mole</t>
  </si>
  <si>
    <t>NT free (3P)</t>
  </si>
  <si>
    <t>Biomass</t>
  </si>
  <si>
    <t>Q sector</t>
  </si>
  <si>
    <t>https://www.nature.com/articles/nature15765</t>
  </si>
  <si>
    <t>UTP: C9H11N2O15P3</t>
  </si>
  <si>
    <t>GTP: C10H12N5O14P3</t>
  </si>
  <si>
    <t>dTTP: C10H13N2O14P3</t>
  </si>
  <si>
    <t>experimental</t>
  </si>
  <si>
    <t>dGTP: C10H12N5O13P3</t>
  </si>
  <si>
    <t>in the base model</t>
  </si>
  <si>
    <t>norm</t>
  </si>
  <si>
    <t>dATP: C10H12N5O12P3</t>
  </si>
  <si>
    <t>Q model</t>
  </si>
  <si>
    <t>CTP: C9H12N3O14P3</t>
  </si>
  <si>
    <t>Density</t>
  </si>
  <si>
    <t>ATP: C10H12N5O13P3</t>
  </si>
  <si>
    <t>protein</t>
  </si>
  <si>
    <t xml:space="preserve">dCTP: C9H12N3O13P3        </t>
  </si>
  <si>
    <t>NA NT (1P)</t>
  </si>
  <si>
    <t>calculated</t>
  </si>
  <si>
    <t>ATP</t>
  </si>
  <si>
    <t>C10H12N5O13P3</t>
  </si>
  <si>
    <t>ADP</t>
  </si>
  <si>
    <t>C10H12N5O10P2</t>
  </si>
  <si>
    <t>http://bigg.ucsd.edu/models/e_coli_core/metabolites/adp_c</t>
  </si>
  <si>
    <t>RNA</t>
  </si>
  <si>
    <t>http://bigg.ucsd.edu/models/e_coli_core/reactions/ATPS4r</t>
  </si>
  <si>
    <t>DNA</t>
  </si>
  <si>
    <t>W</t>
  </si>
  <si>
    <t>CO2</t>
  </si>
  <si>
    <t>Glucose</t>
  </si>
  <si>
    <t>lipids</t>
  </si>
  <si>
    <t>Oxygen</t>
  </si>
  <si>
    <t>H2O</t>
  </si>
  <si>
    <t>kcat</t>
  </si>
  <si>
    <t>Pi</t>
  </si>
  <si>
    <t>HO4P</t>
  </si>
  <si>
    <t>http://bigg.ucsd.edu/models/e_coli_core/metabolites/pi_c</t>
  </si>
  <si>
    <t>EAA</t>
  </si>
  <si>
    <t>other (metabolites)</t>
  </si>
  <si>
    <t>PPi</t>
  </si>
  <si>
    <t>HO7P2</t>
  </si>
  <si>
    <t>http://bigg.ucsd.edu/models/iCN900/metabolites/ppi_c</t>
  </si>
  <si>
    <t>sum</t>
  </si>
  <si>
    <t>ENT</t>
  </si>
  <si>
    <t>P</t>
  </si>
  <si>
    <t>PP</t>
  </si>
  <si>
    <t>ATPS</t>
  </si>
  <si>
    <t>H</t>
  </si>
  <si>
    <t>AA protein</t>
  </si>
  <si>
    <t>https://bionumbers.hms.harvard.edu/bionumber.aspx?id=104877&amp;ver=7&amp;trm=amino+acid+mass&amp;org=</t>
  </si>
  <si>
    <t>density</t>
  </si>
  <si>
    <t>AA free</t>
  </si>
  <si>
    <t>Proteomics</t>
  </si>
  <si>
    <t>TS</t>
  </si>
  <si>
    <t>AAS</t>
  </si>
  <si>
    <t>Stoichiometry</t>
  </si>
  <si>
    <t>NTS</t>
  </si>
  <si>
    <t>ADPS</t>
  </si>
  <si>
    <t>RNAP</t>
  </si>
  <si>
    <t>Lumped</t>
  </si>
  <si>
    <t>DNAP</t>
  </si>
  <si>
    <t>Normalized</t>
  </si>
  <si>
    <t>R</t>
  </si>
  <si>
    <t>Rounded</t>
  </si>
  <si>
    <t>Pi-P</t>
  </si>
  <si>
    <t>Pi-rest</t>
  </si>
  <si>
    <t>KA RNA</t>
  </si>
  <si>
    <t>KA DNA</t>
  </si>
  <si>
    <t>C lumped</t>
  </si>
  <si>
    <t>-</t>
  </si>
  <si>
    <t>Sum</t>
  </si>
  <si>
    <t>NT</t>
  </si>
  <si>
    <t>Translation</t>
  </si>
  <si>
    <t>AA</t>
  </si>
  <si>
    <t>DNAP/RNAP</t>
  </si>
  <si>
    <t>NA NT</t>
  </si>
  <si>
    <t>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</si>
</sst>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0.0000"/>
  </numFmts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9.0"/>
      <color rgb="FF000000"/>
      <name val="Arial"/>
    </font>
    <font>
      <u/>
      <color rgb="FF0000FF"/>
    </font>
    <font>
      <b/>
      <color rgb="FF000000"/>
      <name val="Liberation Sans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D0E0E3"/>
        <bgColor rgb="FFD0E0E3"/>
      </patternFill>
    </fill>
  </fills>
  <borders count="1">
    <border/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2" fontId="3" numFmtId="0" xfId="0" applyAlignment="1" applyFill="1" applyFont="1">
      <alignment horizontal="left" readingOrder="0"/>
    </xf>
    <xf borderId="0" fillId="0" fontId="4" numFmtId="0" xfId="0" applyAlignment="1" applyFont="1">
      <alignment readingOrder="0"/>
    </xf>
    <xf borderId="0" fillId="0" fontId="1" numFmtId="0" xfId="0" applyFont="1"/>
    <xf borderId="0" fillId="0" fontId="2" numFmtId="2" xfId="0" applyFont="1" applyNumberFormat="1"/>
    <xf borderId="0" fillId="0" fontId="2" numFmtId="164" xfId="0" applyFont="1" applyNumberFormat="1"/>
    <xf borderId="0" fillId="0" fontId="2" numFmtId="1" xfId="0" applyFont="1" applyNumberFormat="1"/>
    <xf borderId="0" fillId="0" fontId="1" numFmtId="2" xfId="0" applyFont="1" applyNumberFormat="1"/>
    <xf borderId="0" fillId="0" fontId="2" numFmtId="165" xfId="0" applyFont="1" applyNumberFormat="1"/>
    <xf borderId="0" fillId="0" fontId="5" numFmtId="0" xfId="0" applyAlignment="1" applyFont="1">
      <alignment horizontal="left" readingOrder="0"/>
    </xf>
    <xf borderId="0" fillId="3" fontId="1" numFmtId="0" xfId="0" applyAlignment="1" applyFill="1" applyFont="1">
      <alignment readingOrder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3" fontId="2" numFmtId="0" xfId="0" applyAlignment="1" applyFont="1">
      <alignment readingOrder="0"/>
    </xf>
    <xf borderId="0" fillId="3" fontId="2" numFmtId="0" xfId="0" applyFont="1"/>
    <xf borderId="0" fillId="0" fontId="2" numFmtId="164" xfId="0" applyAlignment="1" applyFont="1" applyNumberFormat="1">
      <alignment readingOrder="0"/>
    </xf>
    <xf borderId="0" fillId="3" fontId="2" numFmtId="166" xfId="0" applyFont="1" applyNumberFormat="1"/>
    <xf borderId="0" fillId="3" fontId="2" numFmtId="164" xfId="0" applyFont="1" applyNumberFormat="1"/>
    <xf borderId="0" fillId="3" fontId="2" numFmtId="2" xfId="0" applyFont="1" applyNumberFormat="1"/>
    <xf borderId="0" fillId="3" fontId="2" numFmtId="0" xfId="0" applyAlignment="1" applyFont="1">
      <alignment horizontal="right" readingOrder="0"/>
    </xf>
    <xf borderId="0" fillId="4" fontId="1" numFmtId="0" xfId="0" applyAlignment="1" applyFill="1" applyFont="1">
      <alignment readingOrder="0"/>
    </xf>
    <xf borderId="0" fillId="4" fontId="2" numFmtId="0" xfId="0" applyAlignment="1" applyFont="1">
      <alignment readingOrder="0"/>
    </xf>
    <xf borderId="0" fillId="4" fontId="2" numFmtId="0" xfId="0" applyAlignment="1" applyFont="1">
      <alignment horizontal="right" readingOrder="0"/>
    </xf>
    <xf borderId="0" fillId="4" fontId="2" numFmtId="0" xfId="0" applyFont="1"/>
    <xf borderId="0" fillId="4" fontId="2" numFmtId="164" xfId="0" applyFont="1" applyNumberFormat="1"/>
    <xf borderId="0" fillId="4" fontId="2" numFmtId="2" xfId="0" applyFont="1" applyNumberFormat="1"/>
    <xf borderId="0" fillId="4" fontId="2" numFmtId="164" xfId="0" applyAlignment="1" applyFont="1" applyNumberFormat="1">
      <alignment readingOrder="0"/>
    </xf>
    <xf borderId="0" fillId="5" fontId="1" numFmtId="0" xfId="0" applyAlignment="1" applyFill="1" applyFont="1">
      <alignment readingOrder="0"/>
    </xf>
    <xf borderId="0" fillId="5" fontId="2" numFmtId="0" xfId="0" applyAlignment="1" applyFont="1">
      <alignment readingOrder="0"/>
    </xf>
    <xf borderId="0" fillId="5" fontId="2" numFmtId="0" xfId="0" applyFont="1"/>
    <xf borderId="0" fillId="5" fontId="2" numFmtId="164" xfId="0" applyFont="1" applyNumberFormat="1"/>
    <xf borderId="0" fillId="5" fontId="2" numFmtId="2" xfId="0" applyFont="1" applyNumberFormat="1"/>
    <xf borderId="0" fillId="6" fontId="1" numFmtId="0" xfId="0" applyAlignment="1" applyFill="1" applyFont="1">
      <alignment readingOrder="0"/>
    </xf>
    <xf borderId="0" fillId="6" fontId="2" numFmtId="0" xfId="0" applyAlignment="1" applyFont="1">
      <alignment readingOrder="0"/>
    </xf>
    <xf borderId="0" fillId="6" fontId="2" numFmtId="0" xfId="0" applyFont="1"/>
    <xf borderId="0" fillId="6" fontId="2" numFmtId="2" xfId="0" applyFont="1" applyNumberFormat="1"/>
    <xf borderId="0" fillId="7" fontId="1" numFmtId="0" xfId="0" applyAlignment="1" applyFill="1" applyFont="1">
      <alignment readingOrder="0"/>
    </xf>
    <xf borderId="0" fillId="7" fontId="2" numFmtId="0" xfId="0" applyAlignment="1" applyFont="1">
      <alignment readingOrder="0"/>
    </xf>
    <xf borderId="0" fillId="7" fontId="2" numFmtId="0" xfId="0" applyFont="1"/>
    <xf borderId="0" fillId="7" fontId="2" numFmtId="2" xfId="0" applyFont="1" applyNumberFormat="1"/>
    <xf borderId="0" fillId="8" fontId="1" numFmtId="0" xfId="0" applyAlignment="1" applyFill="1" applyFont="1">
      <alignment readingOrder="0"/>
    </xf>
    <xf borderId="0" fillId="8" fontId="2" numFmtId="0" xfId="0" applyAlignment="1" applyFont="1">
      <alignment readingOrder="0"/>
    </xf>
    <xf borderId="0" fillId="8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bigg.ucsd.edu/models/e_coli_core/reactions/ATPS4r" TargetMode="External"/><Relationship Id="rId2" Type="http://schemas.openxmlformats.org/officeDocument/2006/relationships/hyperlink" Target="http://bigg.ucsd.edu/models/e_coli_core/metabolites/adp_c" TargetMode="External"/><Relationship Id="rId3" Type="http://schemas.openxmlformats.org/officeDocument/2006/relationships/hyperlink" Target="http://bigg.ucsd.edu/models/e_coli_core/metabolites/pi_c" TargetMode="External"/><Relationship Id="rId4" Type="http://schemas.openxmlformats.org/officeDocument/2006/relationships/hyperlink" Target="http://bigg.ucsd.edu/models/iCN900/metabolites/ppi_c" TargetMode="External"/><Relationship Id="rId5" Type="http://schemas.openxmlformats.org/officeDocument/2006/relationships/hyperlink" Target="https://bionumbers.hms.harvard.edu/bionumber.aspx?id=104877&amp;ver=7&amp;trm=amino+acid+mass&amp;org=" TargetMode="External"/><Relationship Id="rId6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bigg.ucsd.edu/models/e_coli_core/metabolites/adp_c" TargetMode="External"/><Relationship Id="rId2" Type="http://schemas.openxmlformats.org/officeDocument/2006/relationships/hyperlink" Target="http://bigg.ucsd.edu/models/e_coli_core/metabolites/pi_c" TargetMode="External"/><Relationship Id="rId3" Type="http://schemas.openxmlformats.org/officeDocument/2006/relationships/hyperlink" Target="http://bigg.ucsd.edu/models/iCN900/metabolites/ppi_c" TargetMode="External"/><Relationship Id="rId4" Type="http://schemas.openxmlformats.org/officeDocument/2006/relationships/hyperlink" Target="https://bionumbers.hms.harvard.edu/bionumber.aspx?id=104877&amp;ver=7&amp;trm=amino+acid+mass&amp;org=" TargetMode="External"/><Relationship Id="rId5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nature.com/articles/nature15765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38"/>
    <col customWidth="1" min="5" max="5" width="14.88"/>
  </cols>
  <sheetData>
    <row r="1">
      <c r="A1" s="1" t="s">
        <v>0</v>
      </c>
      <c r="B1" s="1" t="s">
        <v>1</v>
      </c>
    </row>
    <row r="2">
      <c r="A2" s="2" t="s">
        <v>2</v>
      </c>
      <c r="B2" s="3">
        <f>AVERAGE(D2:D5,F2:F5)</f>
        <v>489.13625</v>
      </c>
      <c r="C2" s="4" t="s">
        <v>6</v>
      </c>
      <c r="D2" s="2">
        <v>480.11</v>
      </c>
      <c r="E2" s="2" t="s">
        <v>7</v>
      </c>
      <c r="F2" s="2">
        <v>519.15</v>
      </c>
      <c r="G2" s="5" t="s">
        <v>28</v>
      </c>
    </row>
    <row r="3">
      <c r="A3" s="2"/>
      <c r="B3" s="2"/>
      <c r="C3" s="2" t="s">
        <v>8</v>
      </c>
      <c r="D3" s="2">
        <v>478.14</v>
      </c>
      <c r="E3" s="2" t="s">
        <v>10</v>
      </c>
      <c r="F3" s="2">
        <v>503.15</v>
      </c>
      <c r="J3" s="2">
        <v>4000000.0</v>
      </c>
    </row>
    <row r="4">
      <c r="A4" s="2"/>
      <c r="B4" s="2"/>
      <c r="C4" s="2" t="s">
        <v>13</v>
      </c>
      <c r="D4" s="2">
        <v>487.15</v>
      </c>
      <c r="E4" s="2" t="s">
        <v>15</v>
      </c>
      <c r="F4" s="2">
        <v>479.12</v>
      </c>
      <c r="I4" s="2" t="s">
        <v>36</v>
      </c>
      <c r="J4" s="2">
        <v>78.0</v>
      </c>
    </row>
    <row r="5">
      <c r="A5" s="2"/>
      <c r="B5" s="2"/>
      <c r="C5" s="2" t="s">
        <v>17</v>
      </c>
      <c r="D5" s="2">
        <v>503.15</v>
      </c>
      <c r="E5" s="2" t="s">
        <v>19</v>
      </c>
      <c r="F5" s="2">
        <v>463.12</v>
      </c>
      <c r="H5" s="2" t="s">
        <v>40</v>
      </c>
      <c r="I5" s="3">
        <f>J4*B17/4000000*3600</f>
        <v>8.916804</v>
      </c>
    </row>
    <row r="6">
      <c r="A6" s="2" t="s">
        <v>20</v>
      </c>
      <c r="B6" s="2">
        <f>B2-B14</f>
        <v>314.18625</v>
      </c>
      <c r="C6" s="2" t="s">
        <v>21</v>
      </c>
      <c r="H6" s="2" t="s">
        <v>46</v>
      </c>
      <c r="I6" s="3">
        <f>J4*(B2+5*B8+5*B13)/J3*3600</f>
        <v>216.9135248</v>
      </c>
    </row>
    <row r="7">
      <c r="A7" s="2" t="s">
        <v>22</v>
      </c>
      <c r="B7" s="2">
        <v>503.15</v>
      </c>
      <c r="C7" s="2" t="s">
        <v>23</v>
      </c>
      <c r="H7" s="2" t="s">
        <v>49</v>
      </c>
      <c r="I7" s="3">
        <f>J4*(6*B9+26*B7)/J3*3600</f>
        <v>936.886392</v>
      </c>
    </row>
    <row r="8">
      <c r="A8" s="2" t="s">
        <v>24</v>
      </c>
      <c r="B8" s="2">
        <v>424.18</v>
      </c>
      <c r="C8" s="2" t="s">
        <v>25</v>
      </c>
      <c r="D8" s="5" t="s">
        <v>26</v>
      </c>
    </row>
    <row r="9">
      <c r="A9" s="2" t="s">
        <v>30</v>
      </c>
      <c r="B9" s="2">
        <v>44.01</v>
      </c>
      <c r="C9" s="2" t="s">
        <v>31</v>
      </c>
    </row>
    <row r="10">
      <c r="A10" s="2" t="s">
        <v>32</v>
      </c>
      <c r="B10" s="2">
        <v>180.16</v>
      </c>
      <c r="D10" s="8"/>
    </row>
    <row r="11">
      <c r="A11" s="2" t="s">
        <v>34</v>
      </c>
      <c r="B11" s="2">
        <v>32.0</v>
      </c>
    </row>
    <row r="12">
      <c r="A12" s="2" t="s">
        <v>35</v>
      </c>
      <c r="B12" s="2">
        <v>18.02</v>
      </c>
    </row>
    <row r="13">
      <c r="A13" s="2" t="s">
        <v>37</v>
      </c>
      <c r="B13" s="2">
        <v>95.98</v>
      </c>
      <c r="C13" s="2" t="s">
        <v>38</v>
      </c>
      <c r="D13" s="5" t="s">
        <v>39</v>
      </c>
    </row>
    <row r="14">
      <c r="A14" s="2" t="s">
        <v>42</v>
      </c>
      <c r="B14" s="2">
        <v>174.95</v>
      </c>
      <c r="C14" s="2" t="s">
        <v>43</v>
      </c>
      <c r="D14" s="5" t="s">
        <v>44</v>
      </c>
    </row>
    <row r="15">
      <c r="A15" s="2" t="s">
        <v>50</v>
      </c>
      <c r="B15" s="2">
        <v>1.01</v>
      </c>
    </row>
    <row r="16">
      <c r="A16" s="2" t="s">
        <v>51</v>
      </c>
      <c r="B16" s="2">
        <v>109.0</v>
      </c>
      <c r="C16" s="5" t="s">
        <v>52</v>
      </c>
    </row>
    <row r="17">
      <c r="A17" s="2" t="s">
        <v>54</v>
      </c>
      <c r="B17" s="3">
        <f>B16+B12</f>
        <v>127.02</v>
      </c>
      <c r="C17" s="2" t="s">
        <v>21</v>
      </c>
    </row>
    <row r="19">
      <c r="A19" s="13" t="s">
        <v>49</v>
      </c>
      <c r="B19" s="13" t="s">
        <v>58</v>
      </c>
      <c r="C19" s="13" t="s">
        <v>0</v>
      </c>
      <c r="D19" s="13" t="s">
        <v>62</v>
      </c>
      <c r="E19" s="13" t="s">
        <v>64</v>
      </c>
      <c r="F19" s="13" t="s">
        <v>66</v>
      </c>
      <c r="H19" s="1"/>
    </row>
    <row r="20">
      <c r="A20" s="16" t="s">
        <v>32</v>
      </c>
      <c r="B20" s="16">
        <v>-1.0</v>
      </c>
      <c r="C20" s="17">
        <f t="shared" ref="C20:C21" si="1">B20*B10</f>
        <v>-180.16</v>
      </c>
      <c r="D20" s="19"/>
      <c r="E20" s="17"/>
      <c r="F20" s="17"/>
    </row>
    <row r="21">
      <c r="A21" s="16" t="s">
        <v>34</v>
      </c>
      <c r="B21" s="16">
        <v>-6.0</v>
      </c>
      <c r="C21" s="17">
        <f t="shared" si="1"/>
        <v>-192</v>
      </c>
      <c r="D21" s="19"/>
      <c r="E21" s="17"/>
      <c r="F21" s="17"/>
    </row>
    <row r="22">
      <c r="A22" s="16" t="s">
        <v>24</v>
      </c>
      <c r="B22" s="16">
        <v>-26.0</v>
      </c>
      <c r="C22" s="16">
        <f>B22*B8</f>
        <v>-11028.68</v>
      </c>
      <c r="D22" s="19">
        <f>C22</f>
        <v>-11028.68</v>
      </c>
      <c r="E22" s="20">
        <f>D22/sum($D$25,$D$26)</f>
        <v>-0.8263684291</v>
      </c>
      <c r="F22" s="21">
        <f>round(E22,2)</f>
        <v>-0.83</v>
      </c>
    </row>
    <row r="23">
      <c r="A23" s="16" t="s">
        <v>37</v>
      </c>
      <c r="B23" s="16">
        <v>-26.0</v>
      </c>
      <c r="C23" s="17">
        <f>B23*B13</f>
        <v>-2495.48</v>
      </c>
      <c r="D23" s="19"/>
      <c r="E23" s="20"/>
      <c r="F23" s="17"/>
    </row>
    <row r="24">
      <c r="A24" s="16" t="s">
        <v>50</v>
      </c>
      <c r="B24" s="16">
        <v>-26.0</v>
      </c>
      <c r="C24" s="16">
        <f>B24*B15</f>
        <v>-26.26</v>
      </c>
      <c r="D24" s="19"/>
      <c r="E24" s="20"/>
      <c r="F24" s="17"/>
    </row>
    <row r="25">
      <c r="A25" s="16" t="s">
        <v>22</v>
      </c>
      <c r="B25" s="16">
        <v>26.0</v>
      </c>
      <c r="C25" s="16">
        <f>B25*B7</f>
        <v>13081.9</v>
      </c>
      <c r="D25" s="19">
        <f t="shared" ref="D25:D26" si="2">C25</f>
        <v>13081.9</v>
      </c>
      <c r="E25" s="20">
        <f t="shared" ref="E25:E26" si="3">D25/sum($D$25,$D$26)</f>
        <v>0.9802142371</v>
      </c>
      <c r="F25" s="21">
        <f t="shared" ref="F25:F26" si="4">round(E25,2)</f>
        <v>0.98</v>
      </c>
    </row>
    <row r="26">
      <c r="A26" s="16" t="s">
        <v>30</v>
      </c>
      <c r="B26" s="16">
        <v>6.0</v>
      </c>
      <c r="C26" s="16">
        <f>B26*B9</f>
        <v>264.06</v>
      </c>
      <c r="D26" s="19">
        <f t="shared" si="2"/>
        <v>264.06</v>
      </c>
      <c r="E26" s="20">
        <f t="shared" si="3"/>
        <v>0.01978576288</v>
      </c>
      <c r="F26" s="21">
        <f t="shared" si="4"/>
        <v>0.02</v>
      </c>
    </row>
    <row r="27">
      <c r="A27" s="16" t="s">
        <v>35</v>
      </c>
      <c r="B27" s="16">
        <f>6+26</f>
        <v>32</v>
      </c>
      <c r="C27" s="17">
        <f>B27*B12</f>
        <v>576.64</v>
      </c>
      <c r="D27" s="19"/>
      <c r="E27" s="20"/>
      <c r="F27" s="17"/>
    </row>
    <row r="28">
      <c r="A28" s="16" t="s">
        <v>71</v>
      </c>
      <c r="B28" s="22" t="s">
        <v>72</v>
      </c>
      <c r="C28" s="22" t="s">
        <v>72</v>
      </c>
      <c r="D28" s="17">
        <f>C20+C21+C23+C24+C27</f>
        <v>-2317.26</v>
      </c>
      <c r="E28" s="20">
        <f>D28/sum($D$25,$D$26)</f>
        <v>-0.1736300723</v>
      </c>
      <c r="F28" s="21">
        <f>round(E28,2)</f>
        <v>-0.17</v>
      </c>
    </row>
    <row r="29">
      <c r="A29" s="17"/>
      <c r="B29" s="17"/>
      <c r="C29" s="17"/>
      <c r="D29" s="17"/>
      <c r="E29" s="17"/>
      <c r="F29" s="17"/>
    </row>
    <row r="30">
      <c r="A30" s="13" t="s">
        <v>73</v>
      </c>
      <c r="B30" s="17"/>
      <c r="C30" s="17">
        <f t="shared" ref="C30:D30" si="5">sum(C20:C29)</f>
        <v>0.02</v>
      </c>
      <c r="D30" s="19">
        <f t="shared" si="5"/>
        <v>0.02</v>
      </c>
      <c r="E30" s="17">
        <f t="shared" ref="E30:F30" si="6">sum(E20:E28)</f>
        <v>0.000001498580844</v>
      </c>
      <c r="F30" s="17">
        <f t="shared" si="6"/>
        <v>0</v>
      </c>
    </row>
    <row r="33">
      <c r="A33" s="23" t="s">
        <v>46</v>
      </c>
      <c r="B33" s="23" t="s">
        <v>58</v>
      </c>
      <c r="C33" s="23" t="s">
        <v>0</v>
      </c>
      <c r="D33" s="23" t="s">
        <v>62</v>
      </c>
      <c r="E33" s="23" t="s">
        <v>64</v>
      </c>
      <c r="F33" s="23" t="s">
        <v>66</v>
      </c>
    </row>
    <row r="34">
      <c r="A34" s="24" t="s">
        <v>71</v>
      </c>
      <c r="B34" s="25" t="s">
        <v>72</v>
      </c>
      <c r="C34" s="26">
        <f>-sum(C35:C40)</f>
        <v>-489.13625</v>
      </c>
      <c r="D34" s="26">
        <f>C34+C36+C38+C39</f>
        <v>-94.28625</v>
      </c>
      <c r="E34" s="27">
        <f t="shared" ref="E34:E35" si="7">D34/($D$37+$D$40)</f>
        <v>-0.03612449827</v>
      </c>
      <c r="F34" s="28">
        <f t="shared" ref="F34:F35" si="8">round(E34,2)</f>
        <v>-0.04</v>
      </c>
    </row>
    <row r="35">
      <c r="A35" s="24" t="s">
        <v>22</v>
      </c>
      <c r="B35" s="24">
        <v>-5.0</v>
      </c>
      <c r="C35" s="26">
        <f>B35*B7</f>
        <v>-2515.75</v>
      </c>
      <c r="D35" s="26">
        <f>C35</f>
        <v>-2515.75</v>
      </c>
      <c r="E35" s="27">
        <f t="shared" si="7"/>
        <v>-0.9638755017</v>
      </c>
      <c r="F35" s="28">
        <f t="shared" si="8"/>
        <v>-0.96</v>
      </c>
    </row>
    <row r="36">
      <c r="A36" s="24" t="s">
        <v>35</v>
      </c>
      <c r="B36" s="24">
        <v>-5.0</v>
      </c>
      <c r="C36" s="26">
        <f>B36*B12</f>
        <v>-90.1</v>
      </c>
      <c r="D36" s="26"/>
      <c r="E36" s="27"/>
      <c r="F36" s="28"/>
    </row>
    <row r="37">
      <c r="A37" s="24" t="s">
        <v>24</v>
      </c>
      <c r="B37" s="24">
        <v>5.0</v>
      </c>
      <c r="C37" s="26">
        <f>B37*B8</f>
        <v>2120.9</v>
      </c>
      <c r="D37" s="26">
        <f>C37</f>
        <v>2120.9</v>
      </c>
      <c r="E37" s="27">
        <f>D37/($D$37+$D$40)</f>
        <v>0.812594078</v>
      </c>
      <c r="F37" s="28">
        <f>round(E37,2)</f>
        <v>0.81</v>
      </c>
    </row>
    <row r="38">
      <c r="A38" s="24" t="s">
        <v>37</v>
      </c>
      <c r="B38" s="24">
        <v>5.0</v>
      </c>
      <c r="C38" s="26">
        <f>B38*B13</f>
        <v>479.9</v>
      </c>
      <c r="D38" s="26"/>
      <c r="E38" s="27"/>
      <c r="F38" s="28"/>
    </row>
    <row r="39">
      <c r="A39" s="24" t="s">
        <v>50</v>
      </c>
      <c r="B39" s="24">
        <v>5.0</v>
      </c>
      <c r="C39" s="26">
        <f>B39*B15</f>
        <v>5.05</v>
      </c>
      <c r="D39" s="26"/>
      <c r="E39" s="27"/>
      <c r="F39" s="28"/>
    </row>
    <row r="40">
      <c r="A40" s="24" t="s">
        <v>74</v>
      </c>
      <c r="B40" s="24">
        <v>1.0</v>
      </c>
      <c r="C40" s="27">
        <f>B2</f>
        <v>489.13625</v>
      </c>
      <c r="D40" s="27">
        <f>C40</f>
        <v>489.13625</v>
      </c>
      <c r="E40" s="27">
        <f>D40/($D$37+$D$40)</f>
        <v>0.187405922</v>
      </c>
      <c r="F40" s="28">
        <f>round(E40,2)</f>
        <v>0.19</v>
      </c>
    </row>
    <row r="41">
      <c r="A41" s="26"/>
      <c r="B41" s="26"/>
      <c r="C41" s="27"/>
      <c r="D41" s="27"/>
      <c r="E41" s="26"/>
      <c r="F41" s="28"/>
    </row>
    <row r="42">
      <c r="A42" s="23" t="s">
        <v>73</v>
      </c>
      <c r="B42" s="26"/>
      <c r="C42" s="26">
        <f t="shared" ref="C42:F42" si="9">sum(C34:C40)</f>
        <v>0</v>
      </c>
      <c r="D42" s="26">
        <f t="shared" si="9"/>
        <v>0</v>
      </c>
      <c r="E42" s="27">
        <f t="shared" si="9"/>
        <v>0</v>
      </c>
      <c r="F42" s="28">
        <f t="shared" si="9"/>
        <v>0</v>
      </c>
    </row>
    <row r="45">
      <c r="A45" s="30" t="s">
        <v>75</v>
      </c>
      <c r="B45" s="30" t="s">
        <v>58</v>
      </c>
      <c r="C45" s="30" t="s">
        <v>0</v>
      </c>
      <c r="D45" s="30" t="s">
        <v>62</v>
      </c>
      <c r="E45" s="30" t="s">
        <v>64</v>
      </c>
      <c r="F45" s="30" t="s">
        <v>66</v>
      </c>
    </row>
    <row r="46">
      <c r="A46" s="31" t="s">
        <v>76</v>
      </c>
      <c r="B46" s="31">
        <v>-1.0</v>
      </c>
      <c r="C46" s="32">
        <f>B46*B17</f>
        <v>-127.02</v>
      </c>
      <c r="D46" s="32">
        <f t="shared" ref="D46:D47" si="10">C46</f>
        <v>-127.02</v>
      </c>
      <c r="E46" s="33">
        <f t="shared" ref="E46:E47" si="11">D46/sum($D$49+$D$51+$D$53)</f>
        <v>-0.05936568176</v>
      </c>
      <c r="F46" s="34">
        <f t="shared" ref="F46:F47" si="12">round(E46,2)</f>
        <v>-0.06</v>
      </c>
    </row>
    <row r="47">
      <c r="A47" s="31" t="s">
        <v>22</v>
      </c>
      <c r="B47" s="31">
        <v>-4.0</v>
      </c>
      <c r="C47" s="32">
        <f>B47*B7</f>
        <v>-2012.6</v>
      </c>
      <c r="D47" s="32">
        <f t="shared" si="10"/>
        <v>-2012.6</v>
      </c>
      <c r="E47" s="33">
        <f t="shared" si="11"/>
        <v>-0.9406343182</v>
      </c>
      <c r="F47" s="34">
        <f t="shared" si="12"/>
        <v>-0.94</v>
      </c>
    </row>
    <row r="48">
      <c r="A48" s="31" t="s">
        <v>35</v>
      </c>
      <c r="B48" s="31">
        <v>-3.0</v>
      </c>
      <c r="C48" s="32">
        <f>B48*B12</f>
        <v>-54.06</v>
      </c>
      <c r="D48" s="32"/>
      <c r="E48" s="33"/>
      <c r="F48" s="32"/>
    </row>
    <row r="49">
      <c r="A49" s="31" t="s">
        <v>24</v>
      </c>
      <c r="B49" s="31">
        <v>4.0</v>
      </c>
      <c r="C49" s="32">
        <f>B49*B8</f>
        <v>1696.72</v>
      </c>
      <c r="D49" s="32">
        <f>C49</f>
        <v>1696.72</v>
      </c>
      <c r="E49" s="33">
        <f>D49/sum($D$49+$D$51+$D$53)</f>
        <v>0.7930006263</v>
      </c>
      <c r="F49" s="34">
        <f>round(E49,2)</f>
        <v>0.79</v>
      </c>
    </row>
    <row r="50">
      <c r="A50" s="31" t="s">
        <v>37</v>
      </c>
      <c r="B50" s="31">
        <v>4.0</v>
      </c>
      <c r="C50" s="32">
        <f>B50*B13</f>
        <v>383.92</v>
      </c>
      <c r="D50" s="32"/>
      <c r="E50" s="33"/>
      <c r="F50" s="32"/>
    </row>
    <row r="51">
      <c r="A51" s="31" t="s">
        <v>47</v>
      </c>
      <c r="B51" s="31">
        <v>1.0</v>
      </c>
      <c r="C51" s="32">
        <f>B51*B16</f>
        <v>109</v>
      </c>
      <c r="D51" s="32">
        <f>C51</f>
        <v>109</v>
      </c>
      <c r="E51" s="33">
        <f>D51/sum($D$49+$D$51+$D$53)</f>
        <v>0.0509436255</v>
      </c>
      <c r="F51" s="34">
        <f>round(E51,2)</f>
        <v>0.05</v>
      </c>
    </row>
    <row r="52">
      <c r="A52" s="31" t="s">
        <v>50</v>
      </c>
      <c r="B52" s="31">
        <v>4.0</v>
      </c>
      <c r="C52" s="32">
        <f>B52*B15</f>
        <v>4.04</v>
      </c>
      <c r="D52" s="32"/>
      <c r="E52" s="33"/>
      <c r="F52" s="32"/>
    </row>
    <row r="53">
      <c r="A53" s="31" t="s">
        <v>71</v>
      </c>
      <c r="B53" s="32"/>
      <c r="C53" s="32"/>
      <c r="D53" s="32">
        <f>C48+C50+C52</f>
        <v>333.9</v>
      </c>
      <c r="E53" s="33">
        <f>D53/sum($D$49+$D$51+$D$53)</f>
        <v>0.1560557482</v>
      </c>
      <c r="F53" s="31">
        <v>0.16</v>
      </c>
    </row>
    <row r="54">
      <c r="A54" s="32"/>
      <c r="B54" s="32"/>
      <c r="C54" s="32"/>
      <c r="D54" s="32"/>
      <c r="E54" s="32"/>
      <c r="F54" s="32"/>
    </row>
    <row r="55">
      <c r="A55" s="30" t="s">
        <v>73</v>
      </c>
      <c r="B55" s="32"/>
      <c r="C55" s="32">
        <f>sum(C46:C52)</f>
        <v>0</v>
      </c>
      <c r="D55" s="32">
        <f t="shared" ref="D55:F55" si="13">sum(D46:D53)</f>
        <v>0</v>
      </c>
      <c r="E55" s="33">
        <f t="shared" si="13"/>
        <v>0</v>
      </c>
      <c r="F55" s="34">
        <f t="shared" si="13"/>
        <v>0</v>
      </c>
    </row>
    <row r="58">
      <c r="A58" s="35" t="s">
        <v>77</v>
      </c>
      <c r="B58" s="35" t="s">
        <v>58</v>
      </c>
      <c r="C58" s="35" t="s">
        <v>0</v>
      </c>
      <c r="D58" s="35" t="s">
        <v>62</v>
      </c>
      <c r="E58" s="35" t="s">
        <v>64</v>
      </c>
      <c r="F58" s="35" t="s">
        <v>66</v>
      </c>
    </row>
    <row r="59">
      <c r="A59" s="36" t="s">
        <v>74</v>
      </c>
      <c r="B59" s="36">
        <v>-1.0</v>
      </c>
      <c r="C59" s="37">
        <f>B59*B2</f>
        <v>-489.13625</v>
      </c>
      <c r="D59" s="37">
        <f>B59*B2</f>
        <v>-489.13625</v>
      </c>
      <c r="E59" s="37">
        <f t="shared" ref="E59:E61" si="14">D59/sum($D$60,$D$61)</f>
        <v>-1</v>
      </c>
      <c r="F59" s="38">
        <f t="shared" ref="F59:F61" si="15">round(E59,2)</f>
        <v>-1</v>
      </c>
    </row>
    <row r="60">
      <c r="A60" s="36" t="s">
        <v>78</v>
      </c>
      <c r="B60" s="36">
        <v>1.0</v>
      </c>
      <c r="C60" s="37">
        <f>B60*B6</f>
        <v>314.18625</v>
      </c>
      <c r="D60" s="37">
        <f>B60*B6</f>
        <v>314.18625</v>
      </c>
      <c r="E60" s="37">
        <f t="shared" si="14"/>
        <v>0.6423286968</v>
      </c>
      <c r="F60" s="38">
        <f t="shared" si="15"/>
        <v>0.64</v>
      </c>
    </row>
    <row r="61">
      <c r="A61" s="36" t="s">
        <v>71</v>
      </c>
      <c r="B61" s="36"/>
      <c r="C61" s="37"/>
      <c r="D61" s="37">
        <f>-(D59+D60)</f>
        <v>174.95</v>
      </c>
      <c r="E61" s="37">
        <f t="shared" si="14"/>
        <v>0.3576713032</v>
      </c>
      <c r="F61" s="38">
        <f t="shared" si="15"/>
        <v>0.36</v>
      </c>
    </row>
    <row r="64">
      <c r="A64" s="39" t="s">
        <v>60</v>
      </c>
      <c r="B64" s="39" t="s">
        <v>58</v>
      </c>
      <c r="C64" s="39" t="s">
        <v>0</v>
      </c>
      <c r="D64" s="39" t="s">
        <v>62</v>
      </c>
      <c r="E64" s="39" t="s">
        <v>64</v>
      </c>
      <c r="F64" s="39" t="s">
        <v>66</v>
      </c>
    </row>
    <row r="65">
      <c r="A65" s="40" t="s">
        <v>74</v>
      </c>
      <c r="B65" s="40">
        <v>-1.0</v>
      </c>
      <c r="C65" s="41">
        <f>B65*B2</f>
        <v>-489.13625</v>
      </c>
      <c r="D65" s="41">
        <f>B65*B2</f>
        <v>-489.13625</v>
      </c>
      <c r="E65" s="41">
        <f t="shared" ref="E65:E67" si="16">D65/sum($D$66:$D$67)</f>
        <v>-1</v>
      </c>
      <c r="F65" s="42">
        <f t="shared" ref="F65:F67" si="17">round(E65,2)</f>
        <v>-1</v>
      </c>
    </row>
    <row r="66">
      <c r="A66" s="40" t="s">
        <v>24</v>
      </c>
      <c r="B66" s="40">
        <v>1.0</v>
      </c>
      <c r="C66" s="41">
        <f>B66*B8</f>
        <v>424.18</v>
      </c>
      <c r="D66" s="41">
        <f>B66*B8</f>
        <v>424.18</v>
      </c>
      <c r="E66" s="41">
        <f t="shared" si="16"/>
        <v>0.8672021344</v>
      </c>
      <c r="F66" s="42">
        <f t="shared" si="17"/>
        <v>0.87</v>
      </c>
    </row>
    <row r="67">
      <c r="A67" s="40" t="s">
        <v>71</v>
      </c>
      <c r="B67" s="41"/>
      <c r="C67" s="41"/>
      <c r="D67" s="41">
        <f>-(D65+D66)</f>
        <v>64.95625</v>
      </c>
      <c r="E67" s="41">
        <f t="shared" si="16"/>
        <v>0.1327978656</v>
      </c>
      <c r="F67" s="42">
        <f t="shared" si="17"/>
        <v>0.13</v>
      </c>
    </row>
  </sheetData>
  <hyperlinks>
    <hyperlink r:id="rId1" ref="G2"/>
    <hyperlink r:id="rId2" ref="D8"/>
    <hyperlink r:id="rId3" ref="D13"/>
    <hyperlink r:id="rId4" ref="D14"/>
    <hyperlink r:id="rId5" ref="C16"/>
  </hyperlinks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 t="s">
        <v>2</v>
      </c>
      <c r="B2" s="3">
        <f>AVERAGE(D2:D5,F2:F5)</f>
        <v>489.13625</v>
      </c>
      <c r="C2" s="4" t="s">
        <v>6</v>
      </c>
      <c r="D2" s="2">
        <v>480.11</v>
      </c>
      <c r="E2" s="2" t="s">
        <v>7</v>
      </c>
      <c r="F2" s="2">
        <v>519.15</v>
      </c>
    </row>
    <row r="3">
      <c r="A3" s="2"/>
      <c r="B3" s="2"/>
      <c r="C3" s="2" t="s">
        <v>8</v>
      </c>
      <c r="D3" s="2">
        <v>478.14</v>
      </c>
      <c r="E3" s="2" t="s">
        <v>10</v>
      </c>
      <c r="F3" s="2">
        <v>503.15</v>
      </c>
    </row>
    <row r="4">
      <c r="A4" s="2"/>
      <c r="B4" s="2"/>
      <c r="C4" s="2" t="s">
        <v>13</v>
      </c>
      <c r="D4" s="2">
        <v>487.15</v>
      </c>
      <c r="E4" s="2" t="s">
        <v>15</v>
      </c>
      <c r="F4" s="2">
        <v>479.12</v>
      </c>
    </row>
    <row r="5">
      <c r="A5" s="2"/>
      <c r="B5" s="2"/>
      <c r="C5" s="2" t="s">
        <v>17</v>
      </c>
      <c r="D5" s="2">
        <v>503.15</v>
      </c>
      <c r="E5" s="2" t="s">
        <v>19</v>
      </c>
      <c r="F5" s="2">
        <v>463.12</v>
      </c>
    </row>
    <row r="6">
      <c r="A6" s="2" t="s">
        <v>20</v>
      </c>
      <c r="B6" s="2">
        <f>B2-B14</f>
        <v>314.18625</v>
      </c>
      <c r="C6" s="2" t="s">
        <v>21</v>
      </c>
    </row>
    <row r="7">
      <c r="A7" s="2" t="s">
        <v>22</v>
      </c>
      <c r="B7" s="2">
        <v>503.15</v>
      </c>
      <c r="C7" s="2" t="s">
        <v>23</v>
      </c>
    </row>
    <row r="8">
      <c r="A8" s="2" t="s">
        <v>24</v>
      </c>
      <c r="B8" s="2">
        <v>424.18</v>
      </c>
      <c r="C8" s="2" t="s">
        <v>25</v>
      </c>
      <c r="D8" s="5" t="s">
        <v>26</v>
      </c>
    </row>
    <row r="9">
      <c r="A9" s="2" t="s">
        <v>30</v>
      </c>
      <c r="B9" s="2">
        <v>44.01</v>
      </c>
      <c r="C9" s="2" t="s">
        <v>31</v>
      </c>
    </row>
    <row r="10">
      <c r="A10" s="2" t="s">
        <v>32</v>
      </c>
      <c r="B10" s="2">
        <v>180.16</v>
      </c>
      <c r="D10" s="8"/>
    </row>
    <row r="11">
      <c r="A11" s="2" t="s">
        <v>34</v>
      </c>
      <c r="B11" s="2">
        <v>32.0</v>
      </c>
    </row>
    <row r="12">
      <c r="A12" s="2" t="s">
        <v>35</v>
      </c>
      <c r="B12" s="2">
        <v>18.02</v>
      </c>
    </row>
    <row r="13">
      <c r="A13" s="2" t="s">
        <v>37</v>
      </c>
      <c r="B13" s="2">
        <v>95.98</v>
      </c>
      <c r="C13" s="2" t="s">
        <v>38</v>
      </c>
      <c r="D13" s="5" t="s">
        <v>39</v>
      </c>
    </row>
    <row r="14">
      <c r="A14" s="2" t="s">
        <v>42</v>
      </c>
      <c r="B14" s="2">
        <v>174.95</v>
      </c>
      <c r="C14" s="2" t="s">
        <v>43</v>
      </c>
      <c r="D14" s="5" t="s">
        <v>44</v>
      </c>
    </row>
    <row r="15">
      <c r="A15" s="2" t="s">
        <v>47</v>
      </c>
      <c r="B15" s="2">
        <v>30.97</v>
      </c>
    </row>
    <row r="16">
      <c r="A16" s="2" t="s">
        <v>48</v>
      </c>
      <c r="B16" s="2">
        <f>2*B15</f>
        <v>61.94</v>
      </c>
    </row>
    <row r="17">
      <c r="A17" s="2" t="s">
        <v>50</v>
      </c>
      <c r="B17" s="2">
        <v>1.01</v>
      </c>
    </row>
    <row r="18">
      <c r="A18" s="2" t="s">
        <v>51</v>
      </c>
      <c r="B18" s="2">
        <v>109.0</v>
      </c>
      <c r="C18" s="5" t="s">
        <v>52</v>
      </c>
    </row>
    <row r="19">
      <c r="A19" s="2" t="s">
        <v>54</v>
      </c>
      <c r="B19" s="3">
        <f>B18+B12</f>
        <v>127.02</v>
      </c>
      <c r="C19" s="2" t="s">
        <v>21</v>
      </c>
    </row>
    <row r="21">
      <c r="A21" s="13" t="s">
        <v>49</v>
      </c>
      <c r="B21" s="13" t="s">
        <v>58</v>
      </c>
      <c r="C21" s="13" t="s">
        <v>0</v>
      </c>
      <c r="D21" s="13" t="s">
        <v>62</v>
      </c>
      <c r="E21" s="13" t="s">
        <v>64</v>
      </c>
      <c r="F21" s="13" t="s">
        <v>66</v>
      </c>
    </row>
    <row r="22">
      <c r="A22" s="16" t="s">
        <v>32</v>
      </c>
      <c r="B22" s="16">
        <v>-1.0</v>
      </c>
      <c r="C22" s="17">
        <f t="shared" ref="C22:C23" si="1">B22*B10</f>
        <v>-180.16</v>
      </c>
      <c r="D22" s="19"/>
      <c r="E22" s="17"/>
      <c r="F22" s="17"/>
    </row>
    <row r="23">
      <c r="A23" s="16" t="s">
        <v>34</v>
      </c>
      <c r="B23" s="16">
        <v>-6.0</v>
      </c>
      <c r="C23" s="17">
        <f t="shared" si="1"/>
        <v>-192</v>
      </c>
      <c r="D23" s="19"/>
      <c r="E23" s="17"/>
      <c r="F23" s="17"/>
    </row>
    <row r="24">
      <c r="A24" s="16" t="s">
        <v>24</v>
      </c>
      <c r="B24" s="16">
        <v>-26.0</v>
      </c>
      <c r="C24" s="16">
        <f>B24*B8</f>
        <v>-11028.68</v>
      </c>
      <c r="D24" s="19">
        <f t="shared" ref="D24:D25" si="2">C24</f>
        <v>-11028.68</v>
      </c>
      <c r="E24" s="20">
        <f t="shared" ref="E24:E25" si="3">D24/sum($D$28,$D$29)</f>
        <v>-0.8263684291</v>
      </c>
      <c r="F24" s="21">
        <f t="shared" ref="F24:F25" si="4">round(E24,2)</f>
        <v>-0.83</v>
      </c>
    </row>
    <row r="25">
      <c r="A25" s="16" t="s">
        <v>67</v>
      </c>
      <c r="B25" s="16">
        <v>-26.0</v>
      </c>
      <c r="C25" s="17">
        <f>B25*B15</f>
        <v>-805.22</v>
      </c>
      <c r="D25" s="19">
        <f t="shared" si="2"/>
        <v>-805.22</v>
      </c>
      <c r="E25" s="20">
        <f t="shared" si="3"/>
        <v>-0.06033436336</v>
      </c>
      <c r="F25" s="21">
        <f t="shared" si="4"/>
        <v>-0.06</v>
      </c>
    </row>
    <row r="26">
      <c r="A26" s="16" t="s">
        <v>68</v>
      </c>
      <c r="B26" s="16">
        <v>-26.0</v>
      </c>
      <c r="C26" s="16">
        <f>B26*(B13-B15)</f>
        <v>-1690.26</v>
      </c>
      <c r="D26" s="19"/>
      <c r="E26" s="20"/>
      <c r="F26" s="17"/>
    </row>
    <row r="27">
      <c r="A27" s="16" t="s">
        <v>50</v>
      </c>
      <c r="B27" s="16">
        <v>-26.0</v>
      </c>
      <c r="C27" s="16">
        <f>B27*B17</f>
        <v>-26.26</v>
      </c>
      <c r="D27" s="19"/>
      <c r="E27" s="20"/>
      <c r="F27" s="17"/>
    </row>
    <row r="28">
      <c r="A28" s="16" t="s">
        <v>22</v>
      </c>
      <c r="B28" s="16">
        <v>26.0</v>
      </c>
      <c r="C28" s="16">
        <f>B28*B7</f>
        <v>13081.9</v>
      </c>
      <c r="D28" s="19">
        <f t="shared" ref="D28:D29" si="5">C28</f>
        <v>13081.9</v>
      </c>
      <c r="E28" s="20">
        <f t="shared" ref="E28:E29" si="6">D28/sum($D$28,$D$29)</f>
        <v>0.9802142371</v>
      </c>
      <c r="F28" s="21">
        <f t="shared" ref="F28:F29" si="7">round(E28,2)</f>
        <v>0.98</v>
      </c>
    </row>
    <row r="29">
      <c r="A29" s="16" t="s">
        <v>30</v>
      </c>
      <c r="B29" s="16">
        <v>6.0</v>
      </c>
      <c r="C29" s="16">
        <f>B29*B9</f>
        <v>264.06</v>
      </c>
      <c r="D29" s="19">
        <f t="shared" si="5"/>
        <v>264.06</v>
      </c>
      <c r="E29" s="20">
        <f t="shared" si="6"/>
        <v>0.01978576288</v>
      </c>
      <c r="F29" s="21">
        <f t="shared" si="7"/>
        <v>0.02</v>
      </c>
    </row>
    <row r="30">
      <c r="A30" s="16" t="s">
        <v>35</v>
      </c>
      <c r="B30" s="16">
        <f>6+26</f>
        <v>32</v>
      </c>
      <c r="C30" s="17">
        <f>B30*B12</f>
        <v>576.64</v>
      </c>
      <c r="D30" s="19"/>
      <c r="E30" s="20"/>
      <c r="F30" s="17"/>
    </row>
    <row r="31">
      <c r="A31" s="16" t="s">
        <v>71</v>
      </c>
      <c r="B31" s="22" t="s">
        <v>72</v>
      </c>
      <c r="C31" s="22" t="s">
        <v>72</v>
      </c>
      <c r="D31" s="17">
        <f>C22+C23+C27+C30+C26</f>
        <v>-1512.04</v>
      </c>
      <c r="E31" s="20">
        <f>D31/sum($D$28,$D$29)</f>
        <v>-0.113295709</v>
      </c>
      <c r="F31" s="21">
        <f>round(E31,2)</f>
        <v>-0.11</v>
      </c>
    </row>
    <row r="32">
      <c r="A32" s="17"/>
      <c r="B32" s="17"/>
      <c r="C32" s="17"/>
      <c r="D32" s="17"/>
      <c r="E32" s="17"/>
      <c r="F32" s="17"/>
    </row>
    <row r="33">
      <c r="A33" s="13" t="s">
        <v>73</v>
      </c>
      <c r="B33" s="17"/>
      <c r="C33" s="17">
        <f t="shared" ref="C33:D33" si="8">sum(C22:C32)</f>
        <v>0.02</v>
      </c>
      <c r="D33" s="19">
        <f t="shared" si="8"/>
        <v>0.02</v>
      </c>
      <c r="E33" s="17">
        <f t="shared" ref="E33:F33" si="9">sum(E22:E31)</f>
        <v>0.000001498580844</v>
      </c>
      <c r="F33" s="17">
        <f t="shared" si="9"/>
        <v>0</v>
      </c>
    </row>
    <row r="36">
      <c r="A36" s="23" t="s">
        <v>46</v>
      </c>
      <c r="B36" s="23" t="s">
        <v>58</v>
      </c>
      <c r="C36" s="23" t="s">
        <v>0</v>
      </c>
      <c r="D36" s="23" t="s">
        <v>62</v>
      </c>
      <c r="E36" s="23" t="s">
        <v>64</v>
      </c>
      <c r="F36" s="23" t="s">
        <v>66</v>
      </c>
    </row>
    <row r="37">
      <c r="A37" s="24" t="s">
        <v>71</v>
      </c>
      <c r="B37" s="25" t="s">
        <v>72</v>
      </c>
      <c r="C37" s="26">
        <f>-sum(C38:C44)</f>
        <v>-396.22625</v>
      </c>
      <c r="D37" s="26">
        <f>C37+C39+C42+C43</f>
        <v>-156.22625</v>
      </c>
      <c r="E37" s="27">
        <f t="shared" ref="E37:E38" si="10">D37/($D$40+$D$41+$D$44)</f>
        <v>-0.05846842763</v>
      </c>
      <c r="F37" s="27">
        <f t="shared" ref="F37:F38" si="11">round(E37,2)</f>
        <v>-0.06</v>
      </c>
    </row>
    <row r="38">
      <c r="A38" s="24" t="s">
        <v>22</v>
      </c>
      <c r="B38" s="24">
        <v>-5.0</v>
      </c>
      <c r="C38" s="26">
        <f>B38*B7</f>
        <v>-2515.75</v>
      </c>
      <c r="D38" s="26">
        <f>C38</f>
        <v>-2515.75</v>
      </c>
      <c r="E38" s="27">
        <f t="shared" si="10"/>
        <v>-0.9415315724</v>
      </c>
      <c r="F38" s="27">
        <f t="shared" si="11"/>
        <v>-0.94</v>
      </c>
    </row>
    <row r="39">
      <c r="A39" s="24" t="s">
        <v>35</v>
      </c>
      <c r="B39" s="24">
        <v>-5.0</v>
      </c>
      <c r="C39" s="26">
        <f>B39*B12</f>
        <v>-90.1</v>
      </c>
      <c r="D39" s="26"/>
      <c r="E39" s="27"/>
      <c r="F39" s="27"/>
    </row>
    <row r="40">
      <c r="A40" s="24" t="s">
        <v>24</v>
      </c>
      <c r="B40" s="24">
        <v>5.0</v>
      </c>
      <c r="C40" s="26">
        <f>B40*B8</f>
        <v>2120.9</v>
      </c>
      <c r="D40" s="26">
        <f t="shared" ref="D40:D41" si="12">C40</f>
        <v>2120.9</v>
      </c>
      <c r="E40" s="27">
        <f t="shared" ref="E40:E41" si="13">D40/($D$40+$D$41+$D$44)</f>
        <v>0.7937570553</v>
      </c>
      <c r="F40" s="29">
        <v>0.795</v>
      </c>
    </row>
    <row r="41">
      <c r="A41" s="24" t="s">
        <v>67</v>
      </c>
      <c r="B41" s="24">
        <v>2.0</v>
      </c>
      <c r="C41" s="26">
        <f>B41*B15</f>
        <v>61.94</v>
      </c>
      <c r="D41" s="26">
        <f t="shared" si="12"/>
        <v>61.94</v>
      </c>
      <c r="E41" s="27">
        <f t="shared" si="13"/>
        <v>0.02318134377</v>
      </c>
      <c r="F41" s="27">
        <f>round(E41,2)</f>
        <v>0.02</v>
      </c>
    </row>
    <row r="42">
      <c r="A42" s="24" t="s">
        <v>68</v>
      </c>
      <c r="B42" s="24">
        <v>5.0</v>
      </c>
      <c r="C42" s="26">
        <f>B42*(B13-B15)</f>
        <v>325.05</v>
      </c>
      <c r="D42" s="26"/>
      <c r="E42" s="27"/>
      <c r="F42" s="27"/>
    </row>
    <row r="43">
      <c r="A43" s="24" t="s">
        <v>50</v>
      </c>
      <c r="B43" s="24">
        <v>5.0</v>
      </c>
      <c r="C43" s="26">
        <f>B43*B17</f>
        <v>5.05</v>
      </c>
      <c r="D43" s="26"/>
      <c r="E43" s="27"/>
      <c r="F43" s="27"/>
    </row>
    <row r="44">
      <c r="A44" s="24" t="s">
        <v>74</v>
      </c>
      <c r="B44" s="24">
        <v>1.0</v>
      </c>
      <c r="C44" s="27">
        <f>B44*B2</f>
        <v>489.13625</v>
      </c>
      <c r="D44" s="27">
        <f>C44</f>
        <v>489.13625</v>
      </c>
      <c r="E44" s="27">
        <f>D44/($D$40+$D$41+$D$44)</f>
        <v>0.1830616009</v>
      </c>
      <c r="F44" s="29">
        <v>0.185</v>
      </c>
    </row>
    <row r="45">
      <c r="A45" s="26"/>
      <c r="B45" s="26"/>
      <c r="C45" s="27"/>
      <c r="D45" s="27"/>
      <c r="E45" s="26"/>
      <c r="F45" s="27"/>
    </row>
    <row r="46">
      <c r="A46" s="23" t="s">
        <v>73</v>
      </c>
      <c r="B46" s="26"/>
      <c r="C46" s="26">
        <f t="shared" ref="C46:F46" si="14">sum(C37:C44)</f>
        <v>0</v>
      </c>
      <c r="D46" s="26">
        <f t="shared" si="14"/>
        <v>0</v>
      </c>
      <c r="E46" s="27">
        <f t="shared" si="14"/>
        <v>0</v>
      </c>
      <c r="F46" s="27">
        <f t="shared" si="14"/>
        <v>0</v>
      </c>
    </row>
    <row r="49">
      <c r="A49" s="30" t="s">
        <v>75</v>
      </c>
      <c r="B49" s="30" t="s">
        <v>58</v>
      </c>
      <c r="C49" s="30" t="s">
        <v>0</v>
      </c>
      <c r="D49" s="30" t="s">
        <v>62</v>
      </c>
      <c r="E49" s="30" t="s">
        <v>64</v>
      </c>
      <c r="F49" s="30" t="s">
        <v>66</v>
      </c>
    </row>
    <row r="50">
      <c r="A50" s="31" t="s">
        <v>76</v>
      </c>
      <c r="B50" s="31">
        <v>-1.0</v>
      </c>
      <c r="C50" s="32">
        <f>B50*B19</f>
        <v>-127.02</v>
      </c>
      <c r="D50" s="32">
        <f t="shared" ref="D50:D51" si="15">C50</f>
        <v>-127.02</v>
      </c>
      <c r="E50" s="33">
        <f t="shared" ref="E50:E51" si="16">D50/sum($D$53+$D$54+$D$56+$D$58)</f>
        <v>-0.05936568176</v>
      </c>
      <c r="F50" s="34">
        <f t="shared" ref="F50:F51" si="17">round(E50,2)</f>
        <v>-0.06</v>
      </c>
    </row>
    <row r="51">
      <c r="A51" s="31" t="s">
        <v>22</v>
      </c>
      <c r="B51" s="31">
        <v>-4.0</v>
      </c>
      <c r="C51" s="32">
        <f>B51*B7</f>
        <v>-2012.6</v>
      </c>
      <c r="D51" s="32">
        <f t="shared" si="15"/>
        <v>-2012.6</v>
      </c>
      <c r="E51" s="33">
        <f t="shared" si="16"/>
        <v>-0.9406343182</v>
      </c>
      <c r="F51" s="34">
        <f t="shared" si="17"/>
        <v>-0.94</v>
      </c>
    </row>
    <row r="52">
      <c r="A52" s="31" t="s">
        <v>35</v>
      </c>
      <c r="B52" s="31">
        <v>-3.0</v>
      </c>
      <c r="C52" s="32">
        <f>B52*B12</f>
        <v>-54.06</v>
      </c>
      <c r="D52" s="32"/>
      <c r="E52" s="33"/>
      <c r="F52" s="32"/>
    </row>
    <row r="53">
      <c r="A53" s="31" t="s">
        <v>24</v>
      </c>
      <c r="B53" s="31">
        <v>4.0</v>
      </c>
      <c r="C53" s="32">
        <f>B53*B8</f>
        <v>1696.72</v>
      </c>
      <c r="D53" s="32">
        <f t="shared" ref="D53:D54" si="18">C53</f>
        <v>1696.72</v>
      </c>
      <c r="E53" s="33">
        <f t="shared" ref="E53:E54" si="19">D53/sum($D$53+$D$54+$D$56+$D$58)</f>
        <v>0.7930006263</v>
      </c>
      <c r="F53" s="34">
        <f t="shared" ref="F53:F54" si="20">round(E53,2)</f>
        <v>0.79</v>
      </c>
    </row>
    <row r="54">
      <c r="A54" s="31" t="s">
        <v>67</v>
      </c>
      <c r="B54" s="31">
        <v>4.0</v>
      </c>
      <c r="C54" s="32">
        <f>B54*B15</f>
        <v>123.88</v>
      </c>
      <c r="D54" s="32">
        <f t="shared" si="18"/>
        <v>123.88</v>
      </c>
      <c r="E54" s="33">
        <f t="shared" si="19"/>
        <v>0.05789813144</v>
      </c>
      <c r="F54" s="34">
        <f t="shared" si="20"/>
        <v>0.06</v>
      </c>
    </row>
    <row r="55">
      <c r="A55" s="31" t="s">
        <v>68</v>
      </c>
      <c r="B55" s="31">
        <v>4.0</v>
      </c>
      <c r="C55" s="32">
        <f>B55*(B13-B15)</f>
        <v>260.04</v>
      </c>
      <c r="D55" s="32"/>
      <c r="E55" s="33"/>
      <c r="F55" s="34"/>
    </row>
    <row r="56">
      <c r="A56" s="31" t="s">
        <v>47</v>
      </c>
      <c r="B56" s="31">
        <v>1.0</v>
      </c>
      <c r="C56" s="32">
        <f>B56*B18</f>
        <v>109</v>
      </c>
      <c r="D56" s="32">
        <f>C56</f>
        <v>109</v>
      </c>
      <c r="E56" s="33">
        <f>D56/sum($D$53+$D$54+$D$56+$D$58)</f>
        <v>0.0509436255</v>
      </c>
      <c r="F56" s="34">
        <f>round(E56,2)</f>
        <v>0.05</v>
      </c>
    </row>
    <row r="57">
      <c r="A57" s="31" t="s">
        <v>50</v>
      </c>
      <c r="B57" s="31">
        <v>4.0</v>
      </c>
      <c r="C57" s="32">
        <f>B57*B17</f>
        <v>4.04</v>
      </c>
      <c r="D57" s="32"/>
      <c r="E57" s="33"/>
      <c r="F57" s="32"/>
    </row>
    <row r="58">
      <c r="A58" s="31" t="s">
        <v>71</v>
      </c>
      <c r="B58" s="32"/>
      <c r="C58" s="32"/>
      <c r="D58" s="32">
        <f>C52+C55+C57</f>
        <v>210.02</v>
      </c>
      <c r="E58" s="33">
        <f>D58/sum($D$53+$D$54+$D$56+$D$58)</f>
        <v>0.09815761677</v>
      </c>
      <c r="F58" s="34">
        <f>round(E58,2)</f>
        <v>0.1</v>
      </c>
    </row>
    <row r="59">
      <c r="A59" s="32"/>
      <c r="B59" s="32"/>
      <c r="C59" s="32"/>
      <c r="D59" s="32"/>
      <c r="E59" s="32"/>
      <c r="F59" s="32"/>
    </row>
    <row r="60">
      <c r="A60" s="30" t="s">
        <v>73</v>
      </c>
      <c r="B60" s="32"/>
      <c r="C60" s="32">
        <f>sum(C50:C57)</f>
        <v>0</v>
      </c>
      <c r="D60" s="32">
        <f t="shared" ref="D60:F60" si="21">sum(D50:D58)</f>
        <v>0</v>
      </c>
      <c r="E60" s="33">
        <f t="shared" si="21"/>
        <v>0</v>
      </c>
      <c r="F60" s="34">
        <f t="shared" si="21"/>
        <v>0</v>
      </c>
    </row>
    <row r="63">
      <c r="A63" s="35" t="s">
        <v>77</v>
      </c>
      <c r="B63" s="35" t="s">
        <v>58</v>
      </c>
      <c r="C63" s="35" t="s">
        <v>0</v>
      </c>
      <c r="D63" s="35" t="s">
        <v>62</v>
      </c>
      <c r="E63" s="35" t="s">
        <v>64</v>
      </c>
      <c r="F63" s="35" t="s">
        <v>66</v>
      </c>
    </row>
    <row r="64">
      <c r="A64" s="36" t="s">
        <v>74</v>
      </c>
      <c r="B64" s="36">
        <v>-1.0</v>
      </c>
      <c r="C64" s="37">
        <f>B64*B2</f>
        <v>-489.13625</v>
      </c>
      <c r="D64" s="37">
        <f t="shared" ref="D64:D66" si="22">C64</f>
        <v>-489.13625</v>
      </c>
      <c r="E64" s="37">
        <f t="shared" ref="E64:E67" si="23">D64/sum($D$65:$D$67)</f>
        <v>-1</v>
      </c>
      <c r="F64" s="38">
        <f t="shared" ref="F64:F67" si="24">round(E64,2)</f>
        <v>-1</v>
      </c>
    </row>
    <row r="65">
      <c r="A65" s="36" t="s">
        <v>78</v>
      </c>
      <c r="B65" s="36">
        <v>1.0</v>
      </c>
      <c r="C65" s="37">
        <f>B65*B6</f>
        <v>314.18625</v>
      </c>
      <c r="D65" s="37">
        <f t="shared" si="22"/>
        <v>314.18625</v>
      </c>
      <c r="E65" s="37">
        <f t="shared" si="23"/>
        <v>0.6423286968</v>
      </c>
      <c r="F65" s="38">
        <f t="shared" si="24"/>
        <v>0.64</v>
      </c>
    </row>
    <row r="66">
      <c r="A66" s="36" t="s">
        <v>67</v>
      </c>
      <c r="B66" s="36">
        <v>2.0</v>
      </c>
      <c r="C66" s="37">
        <f>B66*B15</f>
        <v>61.94</v>
      </c>
      <c r="D66" s="37">
        <f t="shared" si="22"/>
        <v>61.94</v>
      </c>
      <c r="E66" s="37">
        <f t="shared" si="23"/>
        <v>0.1266313834</v>
      </c>
      <c r="F66" s="38">
        <f t="shared" si="24"/>
        <v>0.13</v>
      </c>
    </row>
    <row r="67">
      <c r="A67" s="36" t="s">
        <v>71</v>
      </c>
      <c r="B67" s="36"/>
      <c r="C67" s="37"/>
      <c r="D67" s="37">
        <f>-(D64+D65+D66)</f>
        <v>113.01</v>
      </c>
      <c r="E67" s="37">
        <f t="shared" si="23"/>
        <v>0.2310399199</v>
      </c>
      <c r="F67" s="38">
        <f t="shared" si="24"/>
        <v>0.23</v>
      </c>
    </row>
    <row r="68">
      <c r="A68" s="1" t="s">
        <v>73</v>
      </c>
      <c r="D68" s="3">
        <f t="shared" ref="D68:F68" si="25">sum(D64:D67)</f>
        <v>0</v>
      </c>
      <c r="E68" s="3">
        <f t="shared" si="25"/>
        <v>0</v>
      </c>
      <c r="F68" s="7">
        <f t="shared" si="25"/>
        <v>0</v>
      </c>
    </row>
    <row r="70">
      <c r="A70" s="39" t="s">
        <v>60</v>
      </c>
      <c r="B70" s="39" t="s">
        <v>58</v>
      </c>
      <c r="C70" s="39" t="s">
        <v>0</v>
      </c>
      <c r="D70" s="39" t="s">
        <v>62</v>
      </c>
      <c r="E70" s="39" t="s">
        <v>64</v>
      </c>
      <c r="F70" s="39" t="s">
        <v>66</v>
      </c>
    </row>
    <row r="71">
      <c r="A71" s="40" t="s">
        <v>74</v>
      </c>
      <c r="B71" s="40">
        <v>-1.0</v>
      </c>
      <c r="C71" s="41">
        <f>B71*B2</f>
        <v>-489.13625</v>
      </c>
      <c r="D71" s="41">
        <f t="shared" ref="D71:D73" si="26">C71</f>
        <v>-489.13625</v>
      </c>
      <c r="E71" s="41">
        <f t="shared" ref="E71:E74" si="27">D71/sum($D$72:$D$74)</f>
        <v>-1</v>
      </c>
      <c r="F71" s="42">
        <f t="shared" ref="F71:F74" si="28">round(E71,2)</f>
        <v>-1</v>
      </c>
    </row>
    <row r="72">
      <c r="A72" s="40" t="s">
        <v>24</v>
      </c>
      <c r="B72" s="40">
        <v>1.0</v>
      </c>
      <c r="C72" s="41">
        <f>B72*B8</f>
        <v>424.18</v>
      </c>
      <c r="D72" s="41">
        <f t="shared" si="26"/>
        <v>424.18</v>
      </c>
      <c r="E72" s="41">
        <f t="shared" si="27"/>
        <v>0.8672021344</v>
      </c>
      <c r="F72" s="42">
        <f t="shared" si="28"/>
        <v>0.87</v>
      </c>
    </row>
    <row r="73">
      <c r="A73" s="40" t="s">
        <v>67</v>
      </c>
      <c r="B73" s="40">
        <v>1.0</v>
      </c>
      <c r="C73" s="41">
        <f>B73*B15</f>
        <v>30.97</v>
      </c>
      <c r="D73" s="41">
        <f t="shared" si="26"/>
        <v>30.97</v>
      </c>
      <c r="E73" s="41">
        <f t="shared" si="27"/>
        <v>0.06331569169</v>
      </c>
      <c r="F73" s="42">
        <f t="shared" si="28"/>
        <v>0.06</v>
      </c>
    </row>
    <row r="74">
      <c r="A74" s="40" t="s">
        <v>71</v>
      </c>
      <c r="B74" s="41"/>
      <c r="C74" s="41"/>
      <c r="D74" s="41">
        <f>-(D71+D72+D73)</f>
        <v>33.98625</v>
      </c>
      <c r="E74" s="41">
        <f t="shared" si="27"/>
        <v>0.06948217393</v>
      </c>
      <c r="F74" s="42">
        <f t="shared" si="28"/>
        <v>0.07</v>
      </c>
    </row>
    <row r="75">
      <c r="A75" s="1" t="s">
        <v>73</v>
      </c>
      <c r="D75" s="3">
        <f t="shared" ref="D75:F75" si="29">sum(D71:D74)</f>
        <v>0</v>
      </c>
      <c r="E75" s="3">
        <f t="shared" si="29"/>
        <v>0</v>
      </c>
      <c r="F75" s="7">
        <f t="shared" si="29"/>
        <v>0</v>
      </c>
    </row>
    <row r="77">
      <c r="A77" s="43" t="s">
        <v>79</v>
      </c>
      <c r="B77" s="43" t="s">
        <v>58</v>
      </c>
      <c r="C77" s="43" t="s">
        <v>0</v>
      </c>
      <c r="D77" s="43" t="s">
        <v>62</v>
      </c>
      <c r="E77" s="43" t="s">
        <v>64</v>
      </c>
      <c r="F77" s="43" t="s">
        <v>66</v>
      </c>
    </row>
    <row r="78">
      <c r="A78" s="44" t="s">
        <v>22</v>
      </c>
      <c r="B78" s="44">
        <v>-1.0</v>
      </c>
      <c r="C78" s="45">
        <f t="shared" ref="C78:C79" si="30">B78*B7</f>
        <v>-503.15</v>
      </c>
      <c r="D78" s="45">
        <f t="shared" ref="D78:D80" si="31">C78</f>
        <v>-503.15</v>
      </c>
      <c r="E78" s="45">
        <f t="shared" ref="E78:E81" si="32">D78/sum($D$79:$D$81)</f>
        <v>-1</v>
      </c>
      <c r="F78" s="45">
        <f t="shared" ref="F78:F81" si="33">round(E78,2)</f>
        <v>-1</v>
      </c>
    </row>
    <row r="79">
      <c r="A79" s="44" t="s">
        <v>24</v>
      </c>
      <c r="B79" s="44">
        <v>1.0</v>
      </c>
      <c r="C79" s="45">
        <f t="shared" si="30"/>
        <v>424.18</v>
      </c>
      <c r="D79" s="45">
        <f t="shared" si="31"/>
        <v>424.18</v>
      </c>
      <c r="E79" s="45">
        <f t="shared" si="32"/>
        <v>0.8430487926</v>
      </c>
      <c r="F79" s="45">
        <f t="shared" si="33"/>
        <v>0.84</v>
      </c>
    </row>
    <row r="80">
      <c r="A80" s="44" t="s">
        <v>67</v>
      </c>
      <c r="B80" s="44">
        <v>1.0</v>
      </c>
      <c r="C80" s="45">
        <f>B80*B15</f>
        <v>30.97</v>
      </c>
      <c r="D80" s="45">
        <f t="shared" si="31"/>
        <v>30.97</v>
      </c>
      <c r="E80" s="45">
        <f t="shared" si="32"/>
        <v>0.06155222101</v>
      </c>
      <c r="F80" s="45">
        <f t="shared" si="33"/>
        <v>0.06</v>
      </c>
    </row>
    <row r="81">
      <c r="A81" s="44" t="s">
        <v>71</v>
      </c>
      <c r="B81" s="45"/>
      <c r="C81" s="45"/>
      <c r="D81" s="45">
        <f>-sum(D78:D80)</f>
        <v>48</v>
      </c>
      <c r="E81" s="45">
        <f t="shared" si="32"/>
        <v>0.09539898639</v>
      </c>
      <c r="F81" s="45">
        <f t="shared" si="33"/>
        <v>0.1</v>
      </c>
    </row>
  </sheetData>
  <hyperlinks>
    <hyperlink r:id="rId1" ref="D8"/>
    <hyperlink r:id="rId2" ref="D13"/>
    <hyperlink r:id="rId3" ref="D14"/>
    <hyperlink r:id="rId4" ref="C18"/>
  </hyperlinks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0"/>
  </cols>
  <sheetData>
    <row r="1">
      <c r="A1" s="1" t="s">
        <v>3</v>
      </c>
      <c r="H1" s="2" t="s">
        <v>4</v>
      </c>
      <c r="I1" s="2">
        <v>0.55</v>
      </c>
      <c r="J1" s="5" t="s">
        <v>5</v>
      </c>
    </row>
    <row r="2">
      <c r="A2" s="6"/>
      <c r="B2" s="1" t="s">
        <v>9</v>
      </c>
      <c r="C2" s="1" t="s">
        <v>11</v>
      </c>
      <c r="D2" s="1" t="s">
        <v>12</v>
      </c>
      <c r="E2" s="1" t="s">
        <v>14</v>
      </c>
      <c r="F2" s="1" t="s">
        <v>12</v>
      </c>
      <c r="H2" s="2" t="s">
        <v>16</v>
      </c>
      <c r="I2" s="2">
        <v>340.0</v>
      </c>
    </row>
    <row r="3">
      <c r="A3" s="2" t="s">
        <v>18</v>
      </c>
      <c r="B3" s="2">
        <v>55.0</v>
      </c>
      <c r="C3" s="7">
        <f>B3*(1-I1)</f>
        <v>24.75</v>
      </c>
      <c r="D3" s="7">
        <f t="shared" ref="D3:D7" si="1">C3/$C$8</f>
        <v>0.4520547945</v>
      </c>
      <c r="E3" s="3">
        <f t="shared" ref="E3:E5" si="2">B3</f>
        <v>55</v>
      </c>
      <c r="F3" s="7">
        <f t="shared" ref="F3:F7" si="3">E3/$E$8</f>
        <v>0.6470588235</v>
      </c>
    </row>
    <row r="4">
      <c r="A4" s="2" t="s">
        <v>27</v>
      </c>
      <c r="B4" s="2">
        <v>21.0</v>
      </c>
      <c r="C4" s="3">
        <f t="shared" ref="C4:C5" si="4">B4</f>
        <v>21</v>
      </c>
      <c r="D4" s="7">
        <f t="shared" si="1"/>
        <v>0.3835616438</v>
      </c>
      <c r="E4" s="3">
        <f t="shared" si="2"/>
        <v>21</v>
      </c>
      <c r="F4" s="7">
        <f t="shared" si="3"/>
        <v>0.2470588235</v>
      </c>
    </row>
    <row r="5">
      <c r="A5" s="2" t="s">
        <v>29</v>
      </c>
      <c r="B5" s="2">
        <v>3.0</v>
      </c>
      <c r="C5" s="3">
        <f t="shared" si="4"/>
        <v>3</v>
      </c>
      <c r="D5" s="7">
        <f t="shared" si="1"/>
        <v>0.05479452055</v>
      </c>
      <c r="E5" s="3">
        <f t="shared" si="2"/>
        <v>3</v>
      </c>
      <c r="F5" s="7">
        <f t="shared" si="3"/>
        <v>0.03529411765</v>
      </c>
    </row>
    <row r="6">
      <c r="A6" s="2" t="s">
        <v>33</v>
      </c>
      <c r="B6" s="2">
        <v>15.0</v>
      </c>
      <c r="C6" s="2">
        <v>0.0</v>
      </c>
      <c r="D6" s="9">
        <f t="shared" si="1"/>
        <v>0</v>
      </c>
      <c r="E6" s="2">
        <v>0.0</v>
      </c>
      <c r="F6" s="7">
        <f t="shared" si="3"/>
        <v>0</v>
      </c>
    </row>
    <row r="7">
      <c r="A7" s="2" t="s">
        <v>41</v>
      </c>
      <c r="B7" s="2">
        <v>6.0</v>
      </c>
      <c r="C7" s="3">
        <f>B7</f>
        <v>6</v>
      </c>
      <c r="D7" s="7">
        <f t="shared" si="1"/>
        <v>0.1095890411</v>
      </c>
      <c r="E7" s="3">
        <f>B7</f>
        <v>6</v>
      </c>
      <c r="F7" s="7">
        <f t="shared" si="3"/>
        <v>0.07058823529</v>
      </c>
    </row>
    <row r="8">
      <c r="A8" s="1" t="s">
        <v>45</v>
      </c>
      <c r="B8" s="6">
        <f t="shared" ref="B8:F8" si="5">sum(B3:B7)</f>
        <v>100</v>
      </c>
      <c r="C8" s="10">
        <f t="shared" si="5"/>
        <v>54.75</v>
      </c>
      <c r="D8" s="10">
        <f t="shared" si="5"/>
        <v>1</v>
      </c>
      <c r="E8" s="6">
        <f t="shared" si="5"/>
        <v>85</v>
      </c>
      <c r="F8" s="10">
        <f t="shared" si="5"/>
        <v>1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10">
      <c r="A10" s="1" t="s">
        <v>53</v>
      </c>
      <c r="B10" s="3">
        <f>I2</f>
        <v>340</v>
      </c>
      <c r="C10" s="11">
        <f>C8/100*B10</f>
        <v>186.15</v>
      </c>
      <c r="E10" s="3">
        <f>E8/100*B10</f>
        <v>289</v>
      </c>
    </row>
    <row r="13">
      <c r="A13" s="1" t="s">
        <v>55</v>
      </c>
    </row>
    <row r="14">
      <c r="A14" s="12" t="s">
        <v>56</v>
      </c>
      <c r="B14" s="12" t="s">
        <v>49</v>
      </c>
      <c r="C14" s="12" t="s">
        <v>57</v>
      </c>
      <c r="D14" s="12" t="s">
        <v>59</v>
      </c>
      <c r="E14" s="12" t="s">
        <v>60</v>
      </c>
      <c r="F14" s="12" t="s">
        <v>61</v>
      </c>
      <c r="G14" s="12" t="s">
        <v>63</v>
      </c>
      <c r="H14" s="12" t="s">
        <v>65</v>
      </c>
      <c r="I14" s="14" t="s">
        <v>45</v>
      </c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</row>
    <row r="15">
      <c r="A15" s="18">
        <v>0.0429</v>
      </c>
      <c r="B15" s="18">
        <v>0.0459</v>
      </c>
      <c r="C15" s="8">
        <v>0.1647</v>
      </c>
      <c r="D15" s="8">
        <f>0.0226-E15</f>
        <v>0.0218</v>
      </c>
      <c r="E15" s="8">
        <v>8.0E-4</v>
      </c>
      <c r="F15" s="8">
        <v>0.0791</v>
      </c>
      <c r="G15" s="8">
        <v>0.0018</v>
      </c>
      <c r="H15" s="8">
        <v>0.3065</v>
      </c>
      <c r="I15" s="8">
        <f t="shared" ref="I15:I16" si="7">sum(A15:H15)</f>
        <v>0.6635</v>
      </c>
    </row>
    <row r="16">
      <c r="A16" s="8">
        <f t="shared" ref="A16:H16" si="6">A15/$I$15</f>
        <v>0.06465712133</v>
      </c>
      <c r="B16" s="8">
        <f t="shared" si="6"/>
        <v>0.06917859834</v>
      </c>
      <c r="C16" s="8">
        <f t="shared" si="6"/>
        <v>0.2482290882</v>
      </c>
      <c r="D16" s="8">
        <f t="shared" si="6"/>
        <v>0.03285606631</v>
      </c>
      <c r="E16" s="8">
        <f t="shared" si="6"/>
        <v>0.001205727204</v>
      </c>
      <c r="F16" s="8">
        <f t="shared" si="6"/>
        <v>0.1192162773</v>
      </c>
      <c r="G16" s="8">
        <f t="shared" si="6"/>
        <v>0.002712886209</v>
      </c>
      <c r="H16" s="8">
        <f t="shared" si="6"/>
        <v>0.4619442351</v>
      </c>
      <c r="I16" s="8">
        <f t="shared" si="7"/>
        <v>1</v>
      </c>
    </row>
    <row r="17">
      <c r="A17" s="3">
        <f t="shared" ref="A17:H17" si="8">A16*$I$17</f>
        <v>0.0290957046</v>
      </c>
      <c r="B17" s="3">
        <f t="shared" si="8"/>
        <v>0.03113036925</v>
      </c>
      <c r="C17" s="3">
        <f t="shared" si="8"/>
        <v>0.1117030897</v>
      </c>
      <c r="D17" s="3">
        <f t="shared" si="8"/>
        <v>0.01478522984</v>
      </c>
      <c r="E17" s="3">
        <f t="shared" si="8"/>
        <v>0.0005425772419</v>
      </c>
      <c r="F17" s="3">
        <f t="shared" si="8"/>
        <v>0.05364732479</v>
      </c>
      <c r="G17" s="3">
        <f t="shared" si="8"/>
        <v>0.001220798794</v>
      </c>
      <c r="H17" s="3">
        <f t="shared" si="8"/>
        <v>0.2078749058</v>
      </c>
      <c r="I17" s="2">
        <v>0.45</v>
      </c>
    </row>
    <row r="18">
      <c r="A18" s="2">
        <v>0.0291</v>
      </c>
      <c r="B18" s="2">
        <v>0.0311</v>
      </c>
      <c r="C18" s="2">
        <v>0.1117</v>
      </c>
      <c r="D18" s="2">
        <v>0.0148</v>
      </c>
      <c r="E18" s="2">
        <v>5.5E-4</v>
      </c>
      <c r="F18" s="2">
        <v>0.05365</v>
      </c>
      <c r="G18" s="2">
        <v>0.0012</v>
      </c>
      <c r="H18" s="2">
        <v>0.2079</v>
      </c>
      <c r="I18" s="3">
        <f>sum(A18:H18)</f>
        <v>0.45</v>
      </c>
    </row>
    <row r="20">
      <c r="A20" s="6"/>
      <c r="B20" s="6"/>
    </row>
    <row r="21">
      <c r="A21" s="1" t="s">
        <v>69</v>
      </c>
      <c r="B21" s="1" t="s">
        <v>70</v>
      </c>
    </row>
    <row r="22">
      <c r="A22" s="2">
        <f>B4*B10/100</f>
        <v>71.4</v>
      </c>
      <c r="B22" s="3">
        <f>B5*B10/100</f>
        <v>10.2</v>
      </c>
    </row>
  </sheetData>
  <hyperlinks>
    <hyperlink r:id="rId1" ref="J1"/>
  </hyperlinks>
  <drawing r:id="rId2"/>
</worksheet>
</file>